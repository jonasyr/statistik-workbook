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W\Downloads\Statistik\GFolder-20251205\(IUSFDSMZ_WiSe_25_Q4_DSBBWLST01_14 (10279969))\Workbook\"/>
    </mc:Choice>
  </mc:AlternateContent>
  <xr:revisionPtr revIDLastSave="0" documentId="13_ncr:1_{CEC79E3C-8101-40BD-92A6-EC9EC89A587E}" xr6:coauthVersionLast="47" xr6:coauthVersionMax="47" xr10:uidLastSave="{00000000-0000-0000-0000-000000000000}"/>
  <bookViews>
    <workbookView xWindow="-108" yWindow="-108" windowWidth="30936" windowHeight="16776" xr2:uid="{D4A33786-F1B0-4F18-AD3D-70A139E3F851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C4" i="1" s="1" a="1"/>
  <c r="C4" i="1" s="1"/>
  <c r="B3" i="1" l="1" a="1"/>
  <c r="B3" i="1" s="1"/>
  <c r="B7" i="1" a="1"/>
  <c r="B7" i="1" s="1"/>
  <c r="C7" i="1" a="1"/>
  <c r="C7" i="1" s="1"/>
  <c r="C6" i="1" a="1"/>
  <c r="C6" i="1" s="1"/>
  <c r="B5" i="1" a="1"/>
  <c r="B5" i="1" s="1"/>
  <c r="B6" i="1" a="1"/>
  <c r="B6" i="1" s="1"/>
  <c r="C3" i="1" a="1"/>
  <c r="C3" i="1" s="1"/>
  <c r="B4" i="1" a="1"/>
  <c r="B4" i="1" s="1"/>
  <c r="C2" i="1" a="1"/>
  <c r="C2" i="1" s="1"/>
  <c r="D2" i="1" a="1"/>
  <c r="D2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<sst xmlns="http://schemas.openxmlformats.org/spreadsheetml/2006/main" count="8" uniqueCount="8">
  <si>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Matrikelnummer</t>
  </si>
  <si>
    <t>Aufgabe 3</t>
  </si>
  <si>
    <t>Aufgabe 5</t>
  </si>
  <si>
    <t>Aufgabe 1b-1d</t>
  </si>
  <si>
    <t>Zelle F1 NICHT ändern:</t>
  </si>
  <si>
    <t>Aufgabe 2a</t>
  </si>
  <si>
    <t>Aufgabe 2b-2c</t>
  </si>
  <si>
    <t>Aufgabe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</si>
</sst>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5" tint="0.79998168889431442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Protection="1">
      <protection hidden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688D-C2BF-4F00-BD31-3D6ECC21104E}">
  <dimension ref="A1:F8"/>
  <sheetViews>
    <sheetView tabSelected="1" zoomScale="110" zoomScaleNormal="110" workbookViewId="0">
      <selection activeCell="B10" sqref="B10"/>
    </sheetView>
  </sheetViews>
  <sheetFormatPr defaultColWidth="11.44140625" defaultRowHeight="14.4" x14ac:dyDescent="0.3"/>
  <cols>
    <col min="1" max="1" width="16.6640625" customWidth="1"/>
    <col min="2" max="3" width="20.44140625" customWidth="1"/>
    <col min="4" max="4" width="19.88671875" customWidth="1"/>
    <col min="5" max="5" width="19.33203125" bestFit="1" customWidth="1"/>
    <col min="6" max="6" width="10.21875" bestFit="1" customWidth="1"/>
  </cols>
  <sheetData>
    <row r="1" spans="1:6" x14ac:dyDescent="0.3">
      <c r="A1" s="1" t="s">
        <v>0</v>
      </c>
      <c r="B1" s="5">
        <v>10237021</v>
      </c>
      <c r="E1" s="3" t="s">
        <v>4</v>
      </c>
      <c r="F1" s="4">
        <f>B1+0</f>
        <v>10237021</v>
      </c>
    </row>
    <row r="2" spans="1:6" x14ac:dyDescent="0.3">
      <c r="A2" t="s">
        <v>3</v>
      </c>
      <c r="B2" s="2" t="str" cm="1">
        <f t="array" ref="B2">TEXT(INDEX({"pv01";"sex";"mstat";"mc04";"work"},MOD($F$1+ROW(B2),5)+1),"")&amp;" (nominal)"</f>
        <v>mc04 (nominal)</v>
      </c>
      <c r="C2" s="2" t="str" cm="1">
        <f t="array" ref="C2">TEXT(INDEX({"ep01";"ep04";"pi02";"lm01";"hs01";"hs04";"hs06";"hs07";"iscd975";"miscd975";"fiscd975";"gkpol";"fe13";"fe14";"fe15";"fe16";"fe17";"im18"},MOD((ROW(C2)*2+1)*$F$1+ROW(C2),18)+1),"")&amp;" (ordinal)"</f>
        <v>ep04 (ordinal)</v>
      </c>
      <c r="D2" s="2" t="str" cm="1">
        <f t="array" ref="D2">TEXT(INDEX({"lm02";"age";"inc";"hhinc";"gd02";"xt10"},MOD($F$1+ROW(D2),6)+1),"")&amp;" (metrisch)"</f>
        <v>hhinc (metrisch)</v>
      </c>
    </row>
    <row r="3" spans="1:6" x14ac:dyDescent="0.3">
      <c r="A3" t="s">
        <v>5</v>
      </c>
      <c r="B3" s="2" t="str" cm="1">
        <f t="array" ref="B3">TEXT(INDEX({"pv01";"sex";"mstat";"mc04";"work";"ep01";"ep04";"pi02";"lm01";"hs01";"hs04";"hs06";"hs07";"iscd975";"miscd975";"fiscd975";"gkpol";"fe13";"fe14";"fe15";"fe16";"fe17";"im18";"lm02";"age";"inc";"hhinc";"gd02";"xt10"},MOD((ROW(B3)*2+1)*$F$1+ROW(B3),29)+1),"")</f>
        <v>ep01</v>
      </c>
      <c r="C3" s="2" t="str" cm="1">
        <f t="array" ref="C3">TEXT(INDEX({"pv01";"sex";"mstat";"mc04";"work";"ep01";"ep04";"pi02";"lm01";"hs01";"hs04";"hs06";"hs07";"iscd975";"miscd975";"fiscd975";"gkpol";"fe13";"fe14";"fe15";"fe16";"fe17";"im18";"lm02";"age";"inc";"hhinc";"gd02";"xt10"},MOD((ROW(C3)*2+1)*$F$1+ROW(C3)+MOD((ROW(C3)*8+1)*$F$1+ROW(C3),28)+1,29)+1),"")</f>
        <v>fe14</v>
      </c>
    </row>
    <row r="4" spans="1:6" x14ac:dyDescent="0.3">
      <c r="A4" t="s">
        <v>6</v>
      </c>
      <c r="B4" s="2" t="str" cm="1">
        <f t="array" ref="B4">TEXT(INDEX({"lm02";"age";"inc";"hhinc";"gd02";"xt10"},MOD($F$1+ROW(B4),6)+1),"")&amp;" (metrisch)"</f>
        <v>xt10 (metrisch)</v>
      </c>
      <c r="C4" s="2" t="str" cm="1">
        <f t="array" ref="C4">TEXT(INDEX({"lm02";"age";"inc";"hhinc";"gd02";"xt10"},MOD($F$1+ROW(C4)+MOD($F$1,4)+1,6)+1),"")&amp;" (metrisch)"</f>
        <v>age (metrisch)</v>
      </c>
    </row>
    <row r="5" spans="1:6" x14ac:dyDescent="0.3">
      <c r="A5" t="s">
        <v>1</v>
      </c>
      <c r="B5" s="2" t="str" cm="1">
        <f t="array" ref="B5">TEXT(INDEX({"lm02";"age";"inc";"hhinc";"gd02";"xt10"},MOD($F$1+ROW(B5),6)+1),"")&amp;" (metrisch)"</f>
        <v>lm02 (metrisch)</v>
      </c>
      <c r="C5" s="2"/>
    </row>
    <row r="6" spans="1:6" x14ac:dyDescent="0.3">
      <c r="A6" t="s">
        <v>7</v>
      </c>
      <c r="B6" s="2" t="str" cm="1">
        <f t="array" ref="B6">TEXT(INDEX({"lm02";"age";"inc";"hhinc";"gd02";"xt10"},MOD($F$1+ROW(B6),6)+1),"")&amp;" (metrisch)"</f>
        <v>age (metrisch)</v>
      </c>
      <c r="C6" s="2" t="str" cm="1">
        <f t="array" ref="C6">TEXT(INDEX({"lm02";"age";"inc";"hhinc";"gd02";"xt10"},MOD($F$1+ROW(C6)+MOD($F$1,4)+1,6)+1),"")&amp;" (metrisch)"</f>
        <v>hhinc (metrisch)</v>
      </c>
    </row>
    <row r="7" spans="1:6" x14ac:dyDescent="0.3">
      <c r="A7" t="s">
        <v>2</v>
      </c>
      <c r="B7" s="2" t="str" cm="1">
        <f t="array" ref="B7">TEXT(INDEX({"ep01";"ep04";"pi02";"lm01";"hs01";"hs04";"hs06";"hs07";"iscd975";"miscd975";"fiscd975";"gkpol";"fe13";"fe14";"fe15";"fe16";"fe17";"im18"},MOD((ROW(B7)*2+1)*$F$1+ROW(B7),18)+1),"")&amp;" (ordinal)"</f>
        <v>hs01 (ordinal)</v>
      </c>
      <c r="C7" s="2" t="str" cm="1">
        <f t="array" ref="C7">TEXT(INDEX({"lm02";"age";"inc";"hhinc";"gd02";"xt10"},MOD((2*ROW(C7)+1)*$F$1+ROW(C7),6)+1),"")&amp;" (metrisch)"</f>
        <v>gd02 (metrisch)</v>
      </c>
    </row>
    <row r="8" spans="1:6" x14ac:dyDescent="0.3">
      <c r="C8" s="2"/>
    </row>
  </sheetData>
  <protectedRanges>
    <protectedRange algorithmName="SHA-512" hashValue="zdhRXr/AyXPVGNKkgimaACJFJHUlDf9vIDzKklpsggudyLfy8rh/O1GCkjYhxpnxn0Mt3CvCGfOscFnxoAp7pw==" saltValue="oN5txkXkkPscDOAWQD7BAw==" spinCount="100000" sqref="D2 C8 B2:C7" name="Bereich1"/>
  </protectedRanges>
  <phoneticPr fontId="1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d5b1e6-f33f-46fb-af45-b81d8894ab34" xsi:nil="true"/>
    <lcf76f155ced4ddcb4097134ff3c332f xmlns="e39285eb-28e8-432e-a570-c6fc71ca3a8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99067008D06F64E9F187BE7AAEA5B54" ma:contentTypeVersion="11" ma:contentTypeDescription="Ein neues Dokument erstellen." ma:contentTypeScope="" ma:versionID="f6cabf99ada42df34f0e7bb0cefe2565">
  <xsd:schema xmlns:xsd="http://www.w3.org/2001/XMLSchema" xmlns:xs="http://www.w3.org/2001/XMLSchema" xmlns:p="http://schemas.microsoft.com/office/2006/metadata/properties" xmlns:ns2="e39285eb-28e8-432e-a570-c6fc71ca3a88" xmlns:ns3="c5d5b1e6-f33f-46fb-af45-b81d8894ab34" targetNamespace="http://schemas.microsoft.com/office/2006/metadata/properties" ma:root="true" ma:fieldsID="aae02f349bc6a93b199cf720acc72b27" ns2:_="" ns3:_="">
    <xsd:import namespace="e39285eb-28e8-432e-a570-c6fc71ca3a88"/>
    <xsd:import namespace="c5d5b1e6-f33f-46fb-af45-b81d8894ab3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9285eb-28e8-432e-a570-c6fc71ca3a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e9e705d6-38b3-4b97-b0df-0b3ae6773d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5b1e6-f33f-46fb-af45-b81d8894ab3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c077f31-5e33-4cfc-9a13-9363bf7329bd}" ma:internalName="TaxCatchAll" ma:showField="CatchAllData" ma:web="c5d5b1e6-f33f-46fb-af45-b81d8894ab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2C20F3-DA66-42D9-B776-7C9AF64998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511D81-ECB3-43A4-9A52-092ACDB6B915}">
  <ds:schemaRefs>
    <ds:schemaRef ds:uri="http://schemas.microsoft.com/office/2006/metadata/properties"/>
    <ds:schemaRef ds:uri="http://schemas.microsoft.com/office/infopath/2007/PartnerControls"/>
    <ds:schemaRef ds:uri="c5d5b1e6-f33f-46fb-af45-b81d8894ab34"/>
    <ds:schemaRef ds:uri="e39285eb-28e8-432e-a570-c6fc71ca3a88"/>
  </ds:schemaRefs>
</ds:datastoreItem>
</file>

<file path=customXml/itemProps3.xml><?xml version="1.0" encoding="utf-8"?>
<ds:datastoreItem xmlns:ds="http://schemas.openxmlformats.org/officeDocument/2006/customXml" ds:itemID="{53161E56-94AD-47CD-86D6-FCBD1C6A4B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9285eb-28e8-432e-a570-c6fc71ca3a88"/>
    <ds:schemaRef ds:uri="c5d5b1e6-f33f-46fb-af45-b81d8894ab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IU - International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Schneider, Florian</dc:creator>
  <cp:keywords/>
  <dc:description/>
  <cp:lastModifiedBy>Jonas Weirauch</cp:lastModifiedBy>
  <cp:revision/>
  <dcterms:created xsi:type="dcterms:W3CDTF">2024-09-27T08:09:05Z</dcterms:created>
  <dcterms:modified xsi:type="dcterms:W3CDTF">2025-12-05T11:03:20Z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0x010100299067008D06F64E9F187BE7AAEA5B54</vt:lpwstr>
  </property>
  <property fmtid="{D5CDD505-2E9C-101B-9397-08002B2CF9AE}" pid="3" name="MediaServiceImageTags">
    <vt:lpwstr/>
  </property>
</Properties>
</file>